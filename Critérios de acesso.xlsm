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articular\rafael\Work in\Anelise\"/>
    </mc:Choice>
  </mc:AlternateContent>
  <xr:revisionPtr revIDLastSave="0" documentId="13_ncr:1_{7182C71F-689E-47AD-8D7F-47707B690366}" xr6:coauthVersionLast="47" xr6:coauthVersionMax="47" xr10:uidLastSave="{00000000-0000-0000-0000-000000000000}"/>
  <bookViews>
    <workbookView xWindow="-120" yWindow="-120" windowWidth="29040" windowHeight="15990" tabRatio="0" firstSheet="1" activeTab="1" xr2:uid="{0D8E21F9-6E29-4A05-806C-21AC8B01854F}"/>
  </bookViews>
  <sheets>
    <sheet name="Original" sheetId="1" r:id="rId1"/>
    <sheet name="DashBoard" sheetId="7" r:id="rId2"/>
    <sheet name="Modelagem" sheetId="8" r:id="rId3"/>
    <sheet name="Base Critérios" sheetId="5" r:id="rId4"/>
  </sheets>
  <externalReferences>
    <externalReference r:id="rId5"/>
    <externalReference r:id="rId6"/>
  </externalReferences>
  <definedNames>
    <definedName name="_xlnm._FilterDatabase" localSheetId="3" hidden="1">'Base Critérios'!$B$3:$F$55</definedName>
    <definedName name="_xlnm.Extract" localSheetId="2">Modelagem!$D$2:$E$2</definedName>
    <definedName name="_xlnm.Criteria" localSheetId="2">Modelagem!$B$2:$B$3</definedName>
    <definedName name="Feriados">[1]FERIADOS!$A$2:$A$937</definedName>
    <definedName name="Instituições">[2]RESUMO!$B$4:$G$21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7" l="1"/>
  <c r="F8" i="7" s="1"/>
  <c r="G4" i="7" l="1"/>
  <c r="F7" i="7"/>
</calcChain>
</file>

<file path=xl/sharedStrings.xml><?xml version="1.0" encoding="utf-8"?>
<sst xmlns="http://schemas.openxmlformats.org/spreadsheetml/2006/main" count="378" uniqueCount="59">
  <si>
    <t>Fomento</t>
  </si>
  <si>
    <t>Semiárido</t>
  </si>
  <si>
    <t>Fomento mulher</t>
  </si>
  <si>
    <t>Habitacional</t>
  </si>
  <si>
    <t>Reforma habitacional</t>
  </si>
  <si>
    <t>MODALIDADES</t>
  </si>
  <si>
    <t>OPERAÇÕES</t>
  </si>
  <si>
    <t>X</t>
  </si>
  <si>
    <t>INSCRIÇÃO NO CADÚNICO</t>
  </si>
  <si>
    <t>NÃO ESTAR INSCRITO EM DÍVIDA ATIVA DA UNIÃO</t>
  </si>
  <si>
    <t>Em até 180 dias da assinatura do Contrato de Crédito</t>
  </si>
  <si>
    <t>APOIO</t>
  </si>
  <si>
    <t>FOMENTO</t>
  </si>
  <si>
    <t>APOIO INICIAL</t>
  </si>
  <si>
    <t>ALIMENTAÇÃO</t>
  </si>
  <si>
    <t>INSUMOS</t>
  </si>
  <si>
    <t>APOIO À INSTALAÇÃO</t>
  </si>
  <si>
    <t>APOIO MULHER</t>
  </si>
  <si>
    <t>ADICIONAL FOMENTO</t>
  </si>
  <si>
    <t>CRÉDITO EMERGENCIAL</t>
  </si>
  <si>
    <t>SEMI-ÁRIDO</t>
  </si>
  <si>
    <t>ADICIONAL DE SEMI-ÁRIDO</t>
  </si>
  <si>
    <t>REABILITAÇÃO DO CRÉDITO DE PRODUÇÃO</t>
  </si>
  <si>
    <t>CRÉDITO AMBIENTAL</t>
  </si>
  <si>
    <t>MULHER TITULAR DO LOTE</t>
  </si>
  <si>
    <t>LAUDO PARA PROXIMA OPERAÇÃO</t>
  </si>
  <si>
    <t>APRESENTAR PROJETO TÉCNICO ELABORADO POR PROFISSIONAL HABILITADO</t>
  </si>
  <si>
    <t>ASSENTAMENTO LOCALIZADO NO SEMIÁRIDO</t>
  </si>
  <si>
    <t>POSSUIR CAR DO LOTE OU DO PERÍMETRO</t>
  </si>
  <si>
    <t>Até três</t>
  </si>
  <si>
    <t xml:space="preserve">SER ATENDIDO POR ATER OU OUTRO PROFISSIONAL HABILITADO </t>
  </si>
  <si>
    <t>SER ATENDIDO POR PROFISSIONAL HABILITADO OU CREDENCIADO PELO INCRA PARA ELABORAÇÃO DE PROJETO E RESPONSABILIZAÇÃO TÉCNICA PELA EXECUÇÃO E FISCALIZAÇÃO DA OBRA</t>
  </si>
  <si>
    <t>PARCELA DEMARCADA OU COM PRÉ-PROJETO DE PARCELAMENTO APROVADO OU ÁREA INDIVIDUAL RECONHECIDA</t>
  </si>
  <si>
    <t>Até duas</t>
  </si>
  <si>
    <t xml:space="preserve"> APOIO, APOIO INICIAL OU ALIMENTAÇÃO COM VALOR IGUAL OU SUPERIOR A 10MIL</t>
  </si>
  <si>
    <t>NÃO SER PROPRIETÁRIO, CESSIONARIO OU PROMITENTE COMPRADOR DE IMÓVEL RESIDENCIAL EM QUAQUER LOCALIDADE</t>
  </si>
  <si>
    <t>NÃO TER RECEBIDO OU TER SIDO CONTEMPLADO</t>
  </si>
  <si>
    <t>PNHR</t>
  </si>
  <si>
    <t>PROCERA OU PRONAF A</t>
  </si>
  <si>
    <t>PRONAF A OU OUTRO CRÉDITO RURAL COM RISCO BANCÁRIO A PARTIR DE 2010</t>
  </si>
  <si>
    <t>Única</t>
  </si>
  <si>
    <t>De acordo com a execução</t>
  </si>
  <si>
    <t>Apoio Inicial</t>
  </si>
  <si>
    <t>COMPROVAÇÃO DE REGULARIDADE AMBIENTAL OU PLANO DE RECUPERAÇÃO AMBIENTAL - PRA</t>
  </si>
  <si>
    <t>DADOS ATUALIZADOS NO SIPRA/INCRA</t>
  </si>
  <si>
    <t>*Florestal</t>
  </si>
  <si>
    <t>*Recuperação ambiental</t>
  </si>
  <si>
    <t>*Cacau</t>
  </si>
  <si>
    <t>* O beneficiário deverá optar por um das modalidades - Florestal, Recuperação Ambiental ou Cacau</t>
  </si>
  <si>
    <t>PERÍMETRO E LOTES IDENTIFICADOS OU ÁREA INDIVIDUAL RECONHECIDA PELO INCRA</t>
  </si>
  <si>
    <t>CRITÉRIOS PARA ACESSO</t>
  </si>
  <si>
    <t>APOIO, APOIO INICIAL OU ALIMENTAÇÃO COM VALOR IGUAL OU SUPERIOR A 10MIL</t>
  </si>
  <si>
    <t>Florestal</t>
  </si>
  <si>
    <t>Recuperação ambiental</t>
  </si>
  <si>
    <t>Cacau</t>
  </si>
  <si>
    <t>CRITÉRIOS</t>
  </si>
  <si>
    <t>Operações</t>
  </si>
  <si>
    <t>Modalidade</t>
  </si>
  <si>
    <t>Inscrição no CADÚNICO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</si>
</sst>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1" fillId="0" borderId="1" xfId="0" applyFont="1" applyFill="1" applyBorder="1" applyAlignment="1">
      <alignment horizontal="center" vertical="center" textRotation="90" wrapText="1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2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 textRotation="90" wrapText="1"/>
    </xf>
    <xf numFmtId="0" fontId="1" fillId="0" borderId="1" xfId="0" applyFont="1" applyFill="1" applyBorder="1" applyAlignment="1">
      <alignment wrapText="1"/>
    </xf>
    <xf numFmtId="0" fontId="0" fillId="0" borderId="1" xfId="0" applyFill="1" applyBorder="1" applyAlignment="1">
      <alignment wrapText="1"/>
    </xf>
    <xf numFmtId="0" fontId="0" fillId="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0" borderId="0" xfId="0" applyFont="1" applyFill="1" applyBorder="1"/>
    <xf numFmtId="0" fontId="4" fillId="0" borderId="1" xfId="0" applyFont="1" applyFill="1" applyBorder="1"/>
    <xf numFmtId="0" fontId="0" fillId="0" borderId="0" xfId="0" applyAlignment="1">
      <alignment horizontal="center"/>
    </xf>
    <xf numFmtId="0" fontId="5" fillId="0" borderId="4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 textRotation="90" wrapText="1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 textRotation="90" wrapText="1"/>
    </xf>
    <xf numFmtId="0" fontId="1" fillId="0" borderId="3" xfId="0" applyFont="1" applyFill="1" applyBorder="1" applyAlignment="1">
      <alignment horizontal="center" vertical="center" textRotation="90" wrapText="1"/>
    </xf>
    <xf numFmtId="0" fontId="0" fillId="4" borderId="0" xfId="0" applyFill="1"/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/>
    <xf numFmtId="0" fontId="7" fillId="6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5" xfId="0" applyFont="1" applyFill="1" applyBorder="1"/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/>
    <xf numFmtId="0" fontId="9" fillId="3" borderId="0" xfId="0" applyFont="1" applyFill="1" applyAlignment="1">
      <alignment vertical="center"/>
    </xf>
    <xf numFmtId="0" fontId="10" fillId="4" borderId="0" xfId="0" applyFont="1" applyFill="1"/>
    <xf numFmtId="0" fontId="9" fillId="7" borderId="4" xfId="0" applyFont="1" applyFill="1" applyBorder="1"/>
    <xf numFmtId="0" fontId="8" fillId="4" borderId="0" xfId="0" applyFont="1" applyFill="1" applyAlignment="1">
      <alignment horizontal="left" vertical="center" wrapText="1"/>
    </xf>
    <xf numFmtId="0" fontId="6" fillId="6" borderId="5" xfId="0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theme="0"/>
        </patternFill>
      </fill>
      <border>
        <bottom style="hair">
          <color auto="1"/>
        </bottom>
        <vertical/>
        <horizontal/>
      </border>
    </dxf>
    <dxf>
      <font>
        <b/>
        <i val="0"/>
      </font>
      <fill>
        <patternFill>
          <bgColor theme="0"/>
        </patternFill>
      </fill>
      <border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1</xdr:row>
          <xdr:rowOff>130969</xdr:rowOff>
        </xdr:from>
        <xdr:to>
          <xdr:col>2</xdr:col>
          <xdr:colOff>376238</xdr:colOff>
          <xdr:row>4</xdr:row>
          <xdr:rowOff>7144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APOIO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4</xdr:row>
          <xdr:rowOff>154782</xdr:rowOff>
        </xdr:from>
        <xdr:to>
          <xdr:col>2</xdr:col>
          <xdr:colOff>376238</xdr:colOff>
          <xdr:row>7</xdr:row>
          <xdr:rowOff>107157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8</xdr:row>
          <xdr:rowOff>16670</xdr:rowOff>
        </xdr:from>
        <xdr:to>
          <xdr:col>2</xdr:col>
          <xdr:colOff>376238</xdr:colOff>
          <xdr:row>10</xdr:row>
          <xdr:rowOff>111920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FLORESTAL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10</xdr:row>
          <xdr:rowOff>259558</xdr:rowOff>
        </xdr:from>
        <xdr:to>
          <xdr:col>2</xdr:col>
          <xdr:colOff>376238</xdr:colOff>
          <xdr:row>11</xdr:row>
          <xdr:rowOff>107158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11</xdr:row>
          <xdr:rowOff>254796</xdr:rowOff>
        </xdr:from>
        <xdr:to>
          <xdr:col>2</xdr:col>
          <xdr:colOff>376238</xdr:colOff>
          <xdr:row>12</xdr:row>
          <xdr:rowOff>102395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FOMENTO MULHER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12</xdr:row>
          <xdr:rowOff>250032</xdr:rowOff>
        </xdr:from>
        <xdr:to>
          <xdr:col>2</xdr:col>
          <xdr:colOff>376238</xdr:colOff>
          <xdr:row>13</xdr:row>
          <xdr:rowOff>97633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HABITACIONAL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13</xdr:row>
          <xdr:rowOff>245270</xdr:rowOff>
        </xdr:from>
        <xdr:to>
          <xdr:col>2</xdr:col>
          <xdr:colOff>376238</xdr:colOff>
          <xdr:row>14</xdr:row>
          <xdr:rowOff>92870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RECUPERAÇÃO AMBIENTAL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14</xdr:row>
          <xdr:rowOff>240507</xdr:rowOff>
        </xdr:from>
        <xdr:to>
          <xdr:col>2</xdr:col>
          <xdr:colOff>376238</xdr:colOff>
          <xdr:row>15</xdr:row>
          <xdr:rowOff>88107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REFORMA HABITACIONAL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290513</xdr:colOff>
          <xdr:row>15</xdr:row>
          <xdr:rowOff>235744</xdr:rowOff>
        </xdr:from>
        <xdr:to>
          <xdr:col>2</xdr:col>
          <xdr:colOff>376238</xdr:colOff>
          <xdr:row>16</xdr:row>
          <xdr:rowOff>83343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SEMIÁRIDO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ticular/rafael/Anota&#231;&#245;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fin2024\dados$\GEFIN%201324\DIAFI-EQANF\PLANILHA%20SEMANAL\Planilha%20Semanal_(BASE)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otações"/>
      <sheetName val="Contatos"/>
      <sheetName val="CENTRALIZADORA"/>
      <sheetName val="Rel CTB Geral"/>
      <sheetName val="Dados Mês"/>
      <sheetName val="Vencimentos 2022"/>
      <sheetName val="Rascunhos"/>
      <sheetName val="Planilha3"/>
      <sheetName val="FERIADOS"/>
      <sheetName val="8016"/>
      <sheetName val="NTN 31.01.2022"/>
      <sheetName val="Planilha1"/>
      <sheetName val="Planilha2"/>
      <sheetName val="IR LFT 04.2022"/>
      <sheetName val="8294 - DPGE Fac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"/>
      <sheetName val="RESUMO (2)"/>
      <sheetName val="BANCOS_2"/>
      <sheetName val="Graficos"/>
      <sheetName val="BANCOS_1"/>
      <sheetName val="Bench Mês-Ano"/>
      <sheetName val="TIR_TP"/>
      <sheetName val="TIR_FIDC POUPEX"/>
      <sheetName val="TIR_PROFIX"/>
      <sheetName val="TIR_FIDC &amp; PROFIX"/>
      <sheetName val="FCVS_A e B 05082020"/>
      <sheetName val="FCVS_A e C 061200"/>
      <sheetName val="FCVS_A e C 211116"/>
      <sheetName val="FCVS_A 291116"/>
      <sheetName val="FCVS_B 291116"/>
      <sheetName val="FCVS_B 11102018"/>
      <sheetName val="Depósitos Especiais"/>
      <sheetName val="calendário- feriados "/>
      <sheetName val="CRI"/>
      <sheetName val="FLUXO ações CIBRASEC"/>
      <sheetName val="TR"/>
      <sheetName val="BCO DADOS"/>
      <sheetName val="Estudo"/>
      <sheetName val="cálculo_FCVS"/>
      <sheetName val="Plan2"/>
      <sheetName val="MARCAÇÃO A MERCADO_DPGE_LF"/>
      <sheetName val="BANCOS_2 (2)"/>
      <sheetName val="BANCOS_1 (2)"/>
      <sheetName val="Plan1"/>
      <sheetName val="TIR_CRI CIBRASEC"/>
      <sheetName val="TIR_CRI CIBRASEC (2)"/>
      <sheetName val="Gráf1"/>
    </sheetNames>
    <sheetDataSet>
      <sheetData sheetId="0">
        <row r="4">
          <cell r="B4" t="str">
            <v>Banco BANESE - Netting 5</v>
          </cell>
          <cell r="C4">
            <v>85000</v>
          </cell>
          <cell r="D4">
            <v>87676</v>
          </cell>
          <cell r="E4">
            <v>1.5372843530697294E-2</v>
          </cell>
          <cell r="F4">
            <v>87676</v>
          </cell>
          <cell r="G4">
            <v>1.5515286563676187E-2</v>
          </cell>
        </row>
        <row r="5">
          <cell r="B5" t="str">
            <v>Banco Bradesco</v>
          </cell>
          <cell r="C5">
            <v>238317</v>
          </cell>
          <cell r="D5">
            <v>277894</v>
          </cell>
          <cell r="E5">
            <v>4.8725089877727015E-2</v>
          </cell>
          <cell r="F5">
            <v>277894</v>
          </cell>
          <cell r="G5">
            <v>4.9176571060794629E-2</v>
          </cell>
        </row>
        <row r="6">
          <cell r="B6" t="str">
            <v>Banco do Brasil</v>
          </cell>
          <cell r="C6">
            <v>3351500.3803599998</v>
          </cell>
          <cell r="D6">
            <v>3357556</v>
          </cell>
          <cell r="E6">
            <v>0.5887036707143789</v>
          </cell>
          <cell r="F6">
            <v>3357556</v>
          </cell>
          <cell r="G6">
            <v>0.59415853247856154</v>
          </cell>
        </row>
        <row r="7">
          <cell r="B7" t="str">
            <v>Banco do Brasil - FIC VIRTUAL POUPEX</v>
          </cell>
          <cell r="C7">
            <v>30498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Banco Itaú Unibanco</v>
          </cell>
          <cell r="C8">
            <v>176496</v>
          </cell>
          <cell r="D8">
            <v>194263</v>
          </cell>
          <cell r="E8">
            <v>3.4061484360644288E-2</v>
          </cell>
          <cell r="F8">
            <v>194263</v>
          </cell>
          <cell r="G8">
            <v>3.4377094230113453E-2</v>
          </cell>
        </row>
        <row r="9">
          <cell r="B9" t="str">
            <v>Banco Safra</v>
          </cell>
          <cell r="C9">
            <v>198554</v>
          </cell>
          <cell r="D9">
            <v>215919</v>
          </cell>
          <cell r="E9">
            <v>3.785858162216147E-2</v>
          </cell>
          <cell r="F9">
            <v>215919</v>
          </cell>
          <cell r="G9">
            <v>3.8209374966266689E-2</v>
          </cell>
        </row>
        <row r="10">
          <cell r="B10" t="str">
            <v>Banco Santander</v>
          </cell>
          <cell r="C10">
            <v>112580</v>
          </cell>
          <cell r="D10">
            <v>120368</v>
          </cell>
          <cell r="E10">
            <v>2.1104959511188601E-2</v>
          </cell>
          <cell r="F10">
            <v>100300</v>
          </cell>
          <cell r="G10">
            <v>1.7749249992434889E-2</v>
          </cell>
        </row>
        <row r="11">
          <cell r="B11" t="str">
            <v>Banco BTG Pactual</v>
          </cell>
          <cell r="C11">
            <v>40000</v>
          </cell>
          <cell r="D11">
            <v>41382</v>
          </cell>
          <cell r="E11">
            <v>7.2557941852652427E-3</v>
          </cell>
          <cell r="F11">
            <v>41382</v>
          </cell>
          <cell r="G11">
            <v>7.3230255552037948E-3</v>
          </cell>
        </row>
        <row r="12">
          <cell r="B12" t="str">
            <v>Banco BV</v>
          </cell>
          <cell r="C12">
            <v>198677</v>
          </cell>
          <cell r="D12">
            <v>210242</v>
          </cell>
          <cell r="E12">
            <v>3.6863193685625031E-2</v>
          </cell>
          <cell r="F12">
            <v>210242</v>
          </cell>
          <cell r="G12">
            <v>3.7204763877462577E-2</v>
          </cell>
        </row>
        <row r="13">
          <cell r="B13" t="str">
            <v>DPGE</v>
          </cell>
          <cell r="C13">
            <v>835500</v>
          </cell>
          <cell r="D13">
            <v>916674</v>
          </cell>
          <cell r="E13">
            <v>0.16072683483117856</v>
          </cell>
          <cell r="F13">
            <v>884381</v>
          </cell>
          <cell r="G13">
            <v>0.15650149010527978</v>
          </cell>
        </row>
        <row r="14">
          <cell r="B14" t="str">
            <v>FCVS</v>
          </cell>
          <cell r="C14">
            <v>25490</v>
          </cell>
          <cell r="D14">
            <v>31225</v>
          </cell>
          <cell r="E14">
            <v>5.4748966563942583E-3</v>
          </cell>
          <cell r="F14">
            <v>31225</v>
          </cell>
          <cell r="G14">
            <v>5.5256264308452593E-3</v>
          </cell>
        </row>
        <row r="15">
          <cell r="B15" t="str">
            <v>FIDC Sabemi VI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</row>
        <row r="16">
          <cell r="B16" t="str">
            <v>Fundos - FIC Virtual Multim. BTG7</v>
          </cell>
          <cell r="C16">
            <v>100000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</row>
        <row r="17">
          <cell r="B17" t="str">
            <v>Fundos - FIC Virtual Multim. CSHG6</v>
          </cell>
          <cell r="C17">
            <v>84000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</row>
        <row r="18">
          <cell r="B18" t="str">
            <v>Profix Institucional FIF Mult.</v>
          </cell>
          <cell r="C18">
            <v>217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B19" t="str">
            <v>TÍTULOS PÚBLICOS</v>
          </cell>
          <cell r="C19">
            <v>221733</v>
          </cell>
          <cell r="D19">
            <v>250105</v>
          </cell>
          <cell r="E19">
            <v>4.3852651024739342E-2</v>
          </cell>
          <cell r="F19">
            <v>250105</v>
          </cell>
          <cell r="G19">
            <v>4.4258984739361198E-2</v>
          </cell>
        </row>
        <row r="20">
          <cell r="C20">
            <v>5698562.3803599998</v>
          </cell>
          <cell r="D20">
            <v>5703304</v>
          </cell>
          <cell r="E20">
            <v>1</v>
          </cell>
          <cell r="F20">
            <v>5650943</v>
          </cell>
          <cell r="G20">
            <v>1.0000000000000002</v>
          </cell>
        </row>
        <row r="21">
          <cell r="F21">
            <v>1</v>
          </cell>
        </row>
      </sheetData>
      <sheetData sheetId="1"/>
      <sheetData sheetId="2">
        <row r="172">
          <cell r="A172" t="str">
            <v>90 DIAS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A2">
            <v>43769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880EE1-B2E5-42AF-8956-E1024A106CE8}" name="TAB_criterios" displayName="TAB_criterios" ref="B3:F55" totalsRowShown="0">
  <tableColumns count="5">
    <tableColumn id="1" xr3:uid="{FC247532-0C91-4383-8E88-B23416DB36EC}" name="MODALIDADES"/>
    <tableColumn id="2" xr3:uid="{F8455E76-E66A-43FA-9D76-F51558196CB1}" name="OPERAÇÕES"/>
    <tableColumn id="3" xr3:uid="{F6F1AD89-C749-48F7-8C04-28FB33906DB1}" name="INSCRIÇÃO NO CADÚNICO"/>
    <tableColumn id="4" xr3:uid="{0F301F88-A063-4200-BAEB-305E29C7E264}" name="CRITÉRIOS"/>
    <tableColumn id="5" xr3:uid="{6DAB01A6-8E49-43D9-9E63-92C2A742C725}" name="NÃO TER RECEBIDO OU TER SIDO CONTEMPLADO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12FE-E452-46CD-84BD-0B1C9872C0AC}">
  <sheetPr codeName="Planilha2">
    <pageSetUpPr fitToPage="1"/>
  </sheetPr>
  <dimension ref="A1:AR32"/>
  <sheetViews>
    <sheetView topLeftCell="A2" zoomScale="70" zoomScaleNormal="70" workbookViewId="0">
      <selection activeCell="D15" sqref="D15"/>
    </sheetView>
  </sheetViews>
  <sheetFormatPr defaultColWidth="8.85546875" defaultRowHeight="15" x14ac:dyDescent="0.25"/>
  <cols>
    <col min="1" max="1" width="21" style="1" customWidth="1"/>
    <col min="2" max="2" width="13" style="1" customWidth="1"/>
    <col min="3" max="3" width="7.140625" style="1" customWidth="1"/>
    <col min="4" max="4" width="20.7109375" style="1" customWidth="1"/>
    <col min="5" max="23" width="7.7109375" style="1" customWidth="1"/>
    <col min="24" max="24" width="12.7109375" style="1" customWidth="1"/>
    <col min="25" max="33" width="7.7109375" style="1" customWidth="1"/>
    <col min="34" max="34" width="38.7109375" style="1" bestFit="1" customWidth="1"/>
    <col min="35" max="16384" width="8.85546875" style="1"/>
  </cols>
  <sheetData>
    <row r="1" spans="1:44" s="3" customFormat="1" ht="76.900000000000006" customHeight="1" x14ac:dyDescent="0.25">
      <c r="A1" s="21" t="s">
        <v>50</v>
      </c>
      <c r="B1" s="21"/>
      <c r="C1" s="21"/>
      <c r="D1" s="21"/>
      <c r="E1" s="21"/>
      <c r="F1" s="21"/>
    </row>
    <row r="2" spans="1:44" s="3" customFormat="1" ht="38.25" customHeight="1" x14ac:dyDescent="0.25">
      <c r="A2" s="23" t="s">
        <v>5</v>
      </c>
      <c r="B2" s="22" t="s">
        <v>6</v>
      </c>
      <c r="C2" s="22" t="s">
        <v>44</v>
      </c>
      <c r="D2" s="22" t="s">
        <v>8</v>
      </c>
      <c r="E2" s="22" t="s">
        <v>24</v>
      </c>
      <c r="F2" s="23" t="s">
        <v>36</v>
      </c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2" t="s">
        <v>30</v>
      </c>
      <c r="X2" s="22" t="s">
        <v>31</v>
      </c>
      <c r="Y2" s="22" t="s">
        <v>25</v>
      </c>
      <c r="Z2" s="24" t="s">
        <v>26</v>
      </c>
      <c r="AA2" s="22" t="s">
        <v>9</v>
      </c>
      <c r="AB2" s="22" t="s">
        <v>27</v>
      </c>
      <c r="AC2" s="22" t="s">
        <v>49</v>
      </c>
      <c r="AD2" s="22" t="s">
        <v>32</v>
      </c>
      <c r="AE2" s="22" t="s">
        <v>28</v>
      </c>
      <c r="AF2" s="22" t="s">
        <v>43</v>
      </c>
      <c r="AG2" s="22" t="s">
        <v>35</v>
      </c>
    </row>
    <row r="3" spans="1:44" s="8" customFormat="1" ht="313.89999999999998" customHeight="1" x14ac:dyDescent="0.25">
      <c r="A3" s="23"/>
      <c r="B3" s="22"/>
      <c r="C3" s="22"/>
      <c r="D3" s="22"/>
      <c r="E3" s="22"/>
      <c r="F3" s="4" t="s">
        <v>11</v>
      </c>
      <c r="G3" s="4" t="s">
        <v>13</v>
      </c>
      <c r="H3" s="4" t="s">
        <v>14</v>
      </c>
      <c r="I3" s="4" t="s">
        <v>15</v>
      </c>
      <c r="J3" s="4" t="s">
        <v>16</v>
      </c>
      <c r="K3" s="4" t="s">
        <v>17</v>
      </c>
      <c r="L3" s="4" t="s">
        <v>12</v>
      </c>
      <c r="M3" s="4" t="s">
        <v>18</v>
      </c>
      <c r="N3" s="4" t="s">
        <v>19</v>
      </c>
      <c r="O3" s="4" t="s">
        <v>20</v>
      </c>
      <c r="P3" s="4" t="s">
        <v>21</v>
      </c>
      <c r="Q3" s="4" t="s">
        <v>22</v>
      </c>
      <c r="R3" s="4" t="s">
        <v>23</v>
      </c>
      <c r="S3" s="12" t="s">
        <v>34</v>
      </c>
      <c r="T3" s="4" t="s">
        <v>37</v>
      </c>
      <c r="U3" s="4" t="s">
        <v>38</v>
      </c>
      <c r="V3" s="4" t="s">
        <v>39</v>
      </c>
      <c r="W3" s="22"/>
      <c r="X3" s="22"/>
      <c r="Y3" s="22"/>
      <c r="Z3" s="25"/>
      <c r="AA3" s="22"/>
      <c r="AB3" s="22"/>
      <c r="AC3" s="22"/>
      <c r="AD3" s="22"/>
      <c r="AE3" s="22"/>
      <c r="AF3" s="22"/>
      <c r="AG3" s="22"/>
      <c r="AH3" s="7"/>
      <c r="AI3" s="7"/>
      <c r="AJ3" s="7"/>
      <c r="AK3" s="7"/>
      <c r="AL3" s="7"/>
    </row>
    <row r="4" spans="1:44" ht="50.1" customHeight="1" x14ac:dyDescent="0.25">
      <c r="A4" s="13" t="s">
        <v>42</v>
      </c>
      <c r="B4" s="5" t="s">
        <v>40</v>
      </c>
      <c r="C4" s="9" t="s">
        <v>7</v>
      </c>
      <c r="D4" s="10" t="s">
        <v>10</v>
      </c>
      <c r="E4" s="6"/>
      <c r="F4" s="9" t="s">
        <v>7</v>
      </c>
      <c r="G4" s="9" t="s">
        <v>7</v>
      </c>
      <c r="H4" s="9" t="s">
        <v>7</v>
      </c>
      <c r="I4" s="9" t="s">
        <v>7</v>
      </c>
      <c r="J4" s="9" t="s">
        <v>7</v>
      </c>
      <c r="K4" s="9" t="s">
        <v>7</v>
      </c>
      <c r="L4" s="9" t="s">
        <v>7</v>
      </c>
      <c r="M4" s="9" t="s">
        <v>7</v>
      </c>
      <c r="N4" s="9" t="s">
        <v>7</v>
      </c>
      <c r="O4" s="9" t="s">
        <v>7</v>
      </c>
      <c r="P4" s="9" t="s">
        <v>7</v>
      </c>
      <c r="Q4" s="9" t="s">
        <v>7</v>
      </c>
      <c r="R4" s="9" t="s">
        <v>7</v>
      </c>
      <c r="S4" s="6"/>
      <c r="T4" s="6"/>
      <c r="U4" s="9" t="s">
        <v>7</v>
      </c>
      <c r="V4" s="6"/>
      <c r="W4" s="6"/>
      <c r="X4" s="6"/>
      <c r="Y4" s="6"/>
      <c r="Z4" s="6"/>
      <c r="AA4" s="5"/>
      <c r="AB4" s="6"/>
      <c r="AC4" s="6"/>
      <c r="AD4" s="6"/>
      <c r="AE4" s="6"/>
      <c r="AF4" s="6"/>
      <c r="AG4" s="6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4" ht="50.1" customHeight="1" x14ac:dyDescent="0.25">
      <c r="A5" s="13" t="s">
        <v>0</v>
      </c>
      <c r="B5" s="5" t="s">
        <v>33</v>
      </c>
      <c r="C5" s="9" t="s">
        <v>7</v>
      </c>
      <c r="D5" s="9" t="s">
        <v>7</v>
      </c>
      <c r="E5" s="6"/>
      <c r="F5" s="6"/>
      <c r="G5" s="6"/>
      <c r="H5" s="6"/>
      <c r="I5" s="6"/>
      <c r="J5" s="6"/>
      <c r="K5" s="6"/>
      <c r="L5" s="6"/>
      <c r="M5" s="9" t="s">
        <v>7</v>
      </c>
      <c r="N5" s="6"/>
      <c r="O5" s="6"/>
      <c r="P5" s="6"/>
      <c r="Q5" s="6"/>
      <c r="R5" s="6"/>
      <c r="S5" s="6"/>
      <c r="T5" s="6"/>
      <c r="U5" s="6"/>
      <c r="V5" s="9" t="s">
        <v>7</v>
      </c>
      <c r="W5" s="9" t="s">
        <v>7</v>
      </c>
      <c r="X5" s="15"/>
      <c r="Y5" s="9" t="s">
        <v>7</v>
      </c>
      <c r="Z5" s="15"/>
      <c r="AA5" s="9" t="s">
        <v>7</v>
      </c>
      <c r="AB5" s="6"/>
      <c r="AC5" s="6"/>
      <c r="AD5" s="6"/>
      <c r="AE5" s="6"/>
      <c r="AF5" s="6"/>
      <c r="AG5" s="6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</row>
    <row r="6" spans="1:44" ht="50.1" customHeight="1" x14ac:dyDescent="0.25">
      <c r="A6" s="13" t="s">
        <v>2</v>
      </c>
      <c r="B6" s="5" t="s">
        <v>40</v>
      </c>
      <c r="C6" s="9" t="s">
        <v>7</v>
      </c>
      <c r="D6" s="9" t="s">
        <v>7</v>
      </c>
      <c r="E6" s="9" t="s">
        <v>7</v>
      </c>
      <c r="F6" s="6"/>
      <c r="G6" s="6"/>
      <c r="H6" s="6"/>
      <c r="I6" s="6"/>
      <c r="J6" s="6"/>
      <c r="K6" s="9" t="s">
        <v>7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9" t="s">
        <v>7</v>
      </c>
      <c r="X6" s="15"/>
      <c r="Y6" s="6"/>
      <c r="Z6" s="15"/>
      <c r="AA6" s="6"/>
      <c r="AB6" s="6"/>
      <c r="AC6" s="6"/>
      <c r="AD6" s="6"/>
      <c r="AE6" s="6"/>
      <c r="AF6" s="6"/>
      <c r="AG6" s="6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</row>
    <row r="7" spans="1:44" ht="50.1" customHeight="1" x14ac:dyDescent="0.25">
      <c r="A7" s="13" t="s">
        <v>1</v>
      </c>
      <c r="B7" s="5" t="s">
        <v>40</v>
      </c>
      <c r="C7" s="9" t="s">
        <v>7</v>
      </c>
      <c r="D7" s="11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9" t="s">
        <v>7</v>
      </c>
      <c r="Q7" s="6"/>
      <c r="R7" s="6"/>
      <c r="S7" s="6"/>
      <c r="T7" s="6"/>
      <c r="U7" s="6"/>
      <c r="V7" s="6"/>
      <c r="W7" s="6"/>
      <c r="X7" s="15"/>
      <c r="Y7" s="6"/>
      <c r="Z7" s="9" t="s">
        <v>7</v>
      </c>
      <c r="AA7" s="6"/>
      <c r="AB7" s="9" t="s">
        <v>7</v>
      </c>
      <c r="AC7" s="9" t="s">
        <v>7</v>
      </c>
      <c r="AD7" s="6"/>
      <c r="AE7" s="6"/>
      <c r="AF7" s="6"/>
      <c r="AG7" s="6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  <row r="8" spans="1:44" ht="50.1" customHeight="1" x14ac:dyDescent="0.25">
      <c r="A8" s="13" t="s">
        <v>45</v>
      </c>
      <c r="B8" s="19" t="s">
        <v>40</v>
      </c>
      <c r="C8" s="16" t="s">
        <v>7</v>
      </c>
      <c r="D8" s="16" t="s">
        <v>7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6" t="s">
        <v>7</v>
      </c>
      <c r="S8" s="11"/>
      <c r="T8" s="11"/>
      <c r="U8" s="11"/>
      <c r="V8" s="11"/>
      <c r="W8" s="16" t="s">
        <v>7</v>
      </c>
      <c r="X8" s="17"/>
      <c r="Y8" s="11"/>
      <c r="Z8" s="11"/>
      <c r="AA8" s="16" t="s">
        <v>7</v>
      </c>
      <c r="AB8" s="11"/>
      <c r="AC8" s="11"/>
      <c r="AD8" s="11"/>
      <c r="AE8" s="16" t="s">
        <v>7</v>
      </c>
      <c r="AF8" s="16" t="s">
        <v>7</v>
      </c>
      <c r="AG8" s="11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44" ht="50.1" customHeight="1" x14ac:dyDescent="0.25">
      <c r="A9" s="13" t="s">
        <v>46</v>
      </c>
      <c r="B9" s="5" t="s">
        <v>40</v>
      </c>
      <c r="C9" s="9" t="s">
        <v>7</v>
      </c>
      <c r="D9" s="9" t="s">
        <v>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9" t="s">
        <v>7</v>
      </c>
      <c r="S9" s="6"/>
      <c r="T9" s="6"/>
      <c r="U9" s="6"/>
      <c r="V9" s="6"/>
      <c r="W9" s="9" t="s">
        <v>7</v>
      </c>
      <c r="X9" s="15"/>
      <c r="Y9" s="6"/>
      <c r="Z9" s="6"/>
      <c r="AA9" s="9" t="s">
        <v>7</v>
      </c>
      <c r="AB9" s="6"/>
      <c r="AC9" s="6"/>
      <c r="AD9" s="6"/>
      <c r="AE9" s="9" t="s">
        <v>7</v>
      </c>
      <c r="AF9" s="9" t="s">
        <v>7</v>
      </c>
      <c r="AG9" s="6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</row>
    <row r="10" spans="1:44" ht="50.1" customHeight="1" x14ac:dyDescent="0.25">
      <c r="A10" s="13" t="s">
        <v>47</v>
      </c>
      <c r="B10" s="5" t="s">
        <v>29</v>
      </c>
      <c r="C10" s="9" t="s">
        <v>7</v>
      </c>
      <c r="D10" s="9" t="s">
        <v>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9" t="s">
        <v>7</v>
      </c>
      <c r="X10" s="15"/>
      <c r="Y10" s="6"/>
      <c r="Z10" s="6"/>
      <c r="AA10" s="9" t="s">
        <v>7</v>
      </c>
      <c r="AB10" s="6"/>
      <c r="AC10" s="6"/>
      <c r="AD10" s="6"/>
      <c r="AE10" s="9" t="s">
        <v>7</v>
      </c>
      <c r="AF10" s="9" t="s">
        <v>7</v>
      </c>
      <c r="AG10" s="6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</row>
    <row r="11" spans="1:44" ht="50.1" customHeight="1" x14ac:dyDescent="0.25">
      <c r="A11" s="13" t="s">
        <v>3</v>
      </c>
      <c r="B11" s="14" t="s">
        <v>41</v>
      </c>
      <c r="C11" s="9" t="s">
        <v>7</v>
      </c>
      <c r="D11" s="9" t="s">
        <v>7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9" t="s">
        <v>7</v>
      </c>
      <c r="T11" s="9" t="s">
        <v>7</v>
      </c>
      <c r="U11" s="6"/>
      <c r="V11" s="6"/>
      <c r="W11" s="6"/>
      <c r="X11" s="9" t="s">
        <v>7</v>
      </c>
      <c r="Y11" s="6"/>
      <c r="Z11" s="6"/>
      <c r="AA11" s="9" t="s">
        <v>7</v>
      </c>
      <c r="AB11" s="6"/>
      <c r="AC11" s="6"/>
      <c r="AD11" s="9" t="s">
        <v>7</v>
      </c>
      <c r="AE11" s="6"/>
      <c r="AF11" s="6"/>
      <c r="AG11" s="9" t="s">
        <v>7</v>
      </c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</row>
    <row r="12" spans="1:44" ht="50.1" customHeight="1" x14ac:dyDescent="0.25">
      <c r="A12" s="13" t="s">
        <v>4</v>
      </c>
      <c r="B12" s="14" t="s">
        <v>41</v>
      </c>
      <c r="C12" s="9" t="s">
        <v>7</v>
      </c>
      <c r="D12" s="9" t="s">
        <v>7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9" t="s">
        <v>7</v>
      </c>
      <c r="T12" s="9" t="s">
        <v>7</v>
      </c>
      <c r="U12" s="6"/>
      <c r="V12" s="6"/>
      <c r="W12" s="6"/>
      <c r="X12" s="9" t="s">
        <v>7</v>
      </c>
      <c r="Y12" s="6"/>
      <c r="Z12" s="6"/>
      <c r="AA12" s="9" t="s">
        <v>7</v>
      </c>
      <c r="AB12" s="6"/>
      <c r="AC12" s="6"/>
      <c r="AD12" s="9" t="s">
        <v>7</v>
      </c>
      <c r="AE12" s="6"/>
      <c r="AF12" s="6"/>
      <c r="AG12" s="9" t="s">
        <v>7</v>
      </c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</row>
    <row r="13" spans="1:44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x14ac:dyDescent="0.25"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44" ht="33" customHeight="1" x14ac:dyDescent="0.25">
      <c r="A15" s="18" t="s">
        <v>48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44" x14ac:dyDescent="0.25"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22:33" x14ac:dyDescent="0.25"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</row>
    <row r="18" spans="22:33" x14ac:dyDescent="0.25">
      <c r="V18" s="2"/>
      <c r="Y18" s="2"/>
      <c r="AA18" s="2"/>
      <c r="AB18" s="2"/>
      <c r="AC18" s="2"/>
      <c r="AD18" s="2"/>
      <c r="AE18" s="2"/>
      <c r="AF18" s="2"/>
      <c r="AG18" s="2"/>
    </row>
    <row r="19" spans="22:33" x14ac:dyDescent="0.25">
      <c r="V19" s="2"/>
      <c r="Y19" s="2"/>
      <c r="AA19" s="2"/>
      <c r="AB19" s="2"/>
      <c r="AC19" s="2"/>
      <c r="AD19" s="2"/>
      <c r="AE19" s="2"/>
      <c r="AF19" s="2"/>
      <c r="AG19" s="2"/>
    </row>
    <row r="20" spans="22:33" x14ac:dyDescent="0.25">
      <c r="V20" s="2"/>
      <c r="Y20" s="2"/>
      <c r="AA20" s="2"/>
      <c r="AB20" s="2"/>
      <c r="AC20" s="2"/>
      <c r="AD20" s="2"/>
      <c r="AE20" s="2"/>
      <c r="AF20" s="2"/>
      <c r="AG20" s="2"/>
    </row>
    <row r="21" spans="22:33" x14ac:dyDescent="0.25">
      <c r="V21" s="2"/>
      <c r="Y21" s="2"/>
      <c r="AA21" s="2"/>
      <c r="AB21" s="2"/>
      <c r="AC21" s="2"/>
      <c r="AD21" s="2"/>
      <c r="AE21" s="2"/>
      <c r="AF21" s="2"/>
      <c r="AG21" s="2"/>
    </row>
    <row r="22" spans="22:33" x14ac:dyDescent="0.25">
      <c r="AA22" s="2"/>
    </row>
    <row r="23" spans="22:33" x14ac:dyDescent="0.25">
      <c r="AA23" s="2"/>
    </row>
    <row r="24" spans="22:33" x14ac:dyDescent="0.25">
      <c r="AA24" s="2"/>
    </row>
    <row r="25" spans="22:33" x14ac:dyDescent="0.25">
      <c r="AA25" s="2"/>
    </row>
    <row r="26" spans="22:33" x14ac:dyDescent="0.25">
      <c r="AA26" s="2"/>
    </row>
    <row r="27" spans="22:33" x14ac:dyDescent="0.25">
      <c r="AA27" s="2"/>
    </row>
    <row r="28" spans="22:33" x14ac:dyDescent="0.25">
      <c r="AA28" s="2"/>
    </row>
    <row r="29" spans="22:33" x14ac:dyDescent="0.25">
      <c r="AA29" s="2"/>
    </row>
    <row r="30" spans="22:33" x14ac:dyDescent="0.25">
      <c r="AA30" s="2"/>
    </row>
    <row r="31" spans="22:33" x14ac:dyDescent="0.25">
      <c r="AA31" s="2"/>
    </row>
    <row r="32" spans="22:33" x14ac:dyDescent="0.25">
      <c r="AA32" s="2"/>
    </row>
  </sheetData>
  <mergeCells count="18">
    <mergeCell ref="AG2:AG3"/>
    <mergeCell ref="W2:W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1:F1"/>
    <mergeCell ref="E2:E3"/>
    <mergeCell ref="F2:V2"/>
    <mergeCell ref="A2:A3"/>
    <mergeCell ref="B2:B3"/>
    <mergeCell ref="C2:C3"/>
    <mergeCell ref="D2:D3"/>
  </mergeCells>
  <pageMargins left="0.51181102362204722" right="0.51181102362204722" top="0.78740157480314965" bottom="0.78740157480314965" header="0.31496062992125984" footer="0.31496062992125984"/>
  <pageSetup paperSize="9" scale="5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A0EE-2F10-43CB-A382-8A941DE991FD}">
  <sheetPr codeName="Planilha1"/>
  <dimension ref="A1:H58"/>
  <sheetViews>
    <sheetView showGridLines="0" showRowColHeaders="0" tabSelected="1" zoomScale="80" zoomScaleNormal="80" workbookViewId="0">
      <selection activeCell="E4" sqref="E4"/>
    </sheetView>
  </sheetViews>
  <sheetFormatPr defaultRowHeight="15" x14ac:dyDescent="0.25"/>
  <cols>
    <col min="1" max="3" width="12" style="29" customWidth="1"/>
    <col min="4" max="4" width="9.140625" style="26"/>
    <col min="5" max="5" width="28.5703125" style="26" customWidth="1"/>
    <col min="6" max="7" width="84.7109375" style="26" customWidth="1"/>
    <col min="8" max="16384" width="9.140625" style="26"/>
  </cols>
  <sheetData>
    <row r="1" spans="1:8" ht="15.75" x14ac:dyDescent="0.25">
      <c r="F1" s="39"/>
      <c r="G1" s="39"/>
    </row>
    <row r="3" spans="1:8" ht="15.75" thickBot="1" x14ac:dyDescent="0.3"/>
    <row r="4" spans="1:8" ht="24" thickBot="1" x14ac:dyDescent="0.4">
      <c r="E4" s="30" t="s">
        <v>57</v>
      </c>
      <c r="F4" s="31" t="str">
        <f>Modelagem!B3</f>
        <v>Apoio Inicial</v>
      </c>
      <c r="G4" s="40" t="str">
        <f>IF(OR(F4="FLORESTAL",F4="RECUPERAÇÃO AMBIENTAL",F4="CACAU"),"O beneficiário deverá optar por um das modalidades - Florestal, Recuperação Ambiental ou Cacau","")</f>
        <v/>
      </c>
      <c r="H4" s="32"/>
    </row>
    <row r="7" spans="1:8" ht="18.75" x14ac:dyDescent="0.3">
      <c r="E7" s="33" t="s">
        <v>56</v>
      </c>
      <c r="F7" s="34" t="str">
        <f>VLOOKUP(F4,TAB_criterios[#All],2,0)</f>
        <v>Única</v>
      </c>
      <c r="G7" s="35"/>
    </row>
    <row r="8" spans="1:8" s="27" customFormat="1" ht="18.75" x14ac:dyDescent="0.25">
      <c r="A8" s="28"/>
      <c r="B8" s="28"/>
      <c r="C8" s="28"/>
      <c r="E8" s="33" t="s">
        <v>58</v>
      </c>
      <c r="F8" s="34" t="str">
        <f>IF(VLOOKUP(F4,TAB_criterios[#All],3,0)=E8,"NECESSÁRIO",IF(VLOOKUP(F4,TAB_criterios[#All],3,0)=0,"NÃO OBRIGATÓRIO",VLOOKUP(F4,TAB_criterios[#All],3,0)))</f>
        <v>Em até 180 dias da assinatura do Contrato de Crédito</v>
      </c>
      <c r="G8" s="36"/>
    </row>
    <row r="9" spans="1:8" ht="18.75" x14ac:dyDescent="0.3">
      <c r="E9" s="37"/>
      <c r="F9" s="37"/>
      <c r="G9" s="37"/>
    </row>
    <row r="10" spans="1:8" ht="18.75" x14ac:dyDescent="0.3">
      <c r="E10" s="37"/>
      <c r="F10" s="38" t="s">
        <v>55</v>
      </c>
      <c r="G10" s="38" t="s">
        <v>36</v>
      </c>
    </row>
    <row r="11" spans="1:8" ht="57" customHeight="1" x14ac:dyDescent="0.25">
      <c r="F11" s="39"/>
      <c r="G11" s="39" t="s">
        <v>11</v>
      </c>
    </row>
    <row r="12" spans="1:8" ht="57" customHeight="1" x14ac:dyDescent="0.25">
      <c r="F12" s="39"/>
      <c r="G12" s="39" t="s">
        <v>13</v>
      </c>
    </row>
    <row r="13" spans="1:8" ht="57" customHeight="1" x14ac:dyDescent="0.25">
      <c r="F13" s="39"/>
      <c r="G13" s="39" t="s">
        <v>14</v>
      </c>
    </row>
    <row r="14" spans="1:8" ht="57" customHeight="1" x14ac:dyDescent="0.25">
      <c r="F14" s="39"/>
      <c r="G14" s="39" t="s">
        <v>15</v>
      </c>
    </row>
    <row r="15" spans="1:8" ht="57" customHeight="1" x14ac:dyDescent="0.25">
      <c r="F15" s="39"/>
      <c r="G15" s="39" t="s">
        <v>16</v>
      </c>
    </row>
    <row r="16" spans="1:8" ht="57" customHeight="1" x14ac:dyDescent="0.25">
      <c r="F16" s="39"/>
      <c r="G16" s="39" t="s">
        <v>17</v>
      </c>
    </row>
    <row r="17" spans="6:7" ht="57" customHeight="1" x14ac:dyDescent="0.25">
      <c r="F17" s="39"/>
      <c r="G17" s="39" t="s">
        <v>12</v>
      </c>
    </row>
    <row r="18" spans="6:7" ht="57" customHeight="1" x14ac:dyDescent="0.25">
      <c r="F18" s="39"/>
      <c r="G18" s="39" t="s">
        <v>18</v>
      </c>
    </row>
    <row r="19" spans="6:7" ht="57" customHeight="1" x14ac:dyDescent="0.25">
      <c r="F19" s="39"/>
      <c r="G19" s="39" t="s">
        <v>19</v>
      </c>
    </row>
    <row r="20" spans="6:7" ht="57" customHeight="1" x14ac:dyDescent="0.25">
      <c r="F20" s="39"/>
      <c r="G20" s="39" t="s">
        <v>20</v>
      </c>
    </row>
    <row r="21" spans="6:7" ht="57" customHeight="1" x14ac:dyDescent="0.25">
      <c r="F21" s="39"/>
      <c r="G21" s="39" t="s">
        <v>21</v>
      </c>
    </row>
    <row r="22" spans="6:7" ht="57" customHeight="1" x14ac:dyDescent="0.25">
      <c r="F22" s="39"/>
      <c r="G22" s="39" t="s">
        <v>22</v>
      </c>
    </row>
    <row r="23" spans="6:7" ht="57" customHeight="1" x14ac:dyDescent="0.25">
      <c r="F23" s="39"/>
      <c r="G23" s="39" t="s">
        <v>23</v>
      </c>
    </row>
    <row r="24" spans="6:7" ht="57" customHeight="1" x14ac:dyDescent="0.25">
      <c r="F24" s="39"/>
      <c r="G24" s="39" t="s">
        <v>38</v>
      </c>
    </row>
    <row r="25" spans="6:7" ht="57" customHeight="1" x14ac:dyDescent="0.25">
      <c r="F25" s="39"/>
      <c r="G25" s="39"/>
    </row>
    <row r="26" spans="6:7" ht="57" customHeight="1" x14ac:dyDescent="0.25">
      <c r="F26" s="39"/>
      <c r="G26" s="39"/>
    </row>
    <row r="27" spans="6:7" ht="57" customHeight="1" x14ac:dyDescent="0.25">
      <c r="F27" s="39"/>
      <c r="G27" s="39"/>
    </row>
    <row r="28" spans="6:7" ht="57" customHeight="1" x14ac:dyDescent="0.25">
      <c r="F28" s="39"/>
      <c r="G28" s="39"/>
    </row>
    <row r="29" spans="6:7" ht="57" customHeight="1" x14ac:dyDescent="0.25">
      <c r="F29" s="39"/>
      <c r="G29" s="39"/>
    </row>
    <row r="30" spans="6:7" ht="57" customHeight="1" x14ac:dyDescent="0.25">
      <c r="F30" s="39"/>
      <c r="G30" s="39"/>
    </row>
    <row r="31" spans="6:7" ht="57" customHeight="1" x14ac:dyDescent="0.25">
      <c r="F31" s="39"/>
      <c r="G31" s="39"/>
    </row>
    <row r="32" spans="6:7" ht="57" customHeight="1" x14ac:dyDescent="0.25">
      <c r="F32" s="39"/>
      <c r="G32" s="39"/>
    </row>
    <row r="33" spans="6:7" ht="57" customHeight="1" x14ac:dyDescent="0.25">
      <c r="F33" s="39"/>
      <c r="G33" s="39"/>
    </row>
    <row r="34" spans="6:7" ht="57" customHeight="1" x14ac:dyDescent="0.25">
      <c r="F34" s="39"/>
      <c r="G34" s="39"/>
    </row>
    <row r="35" spans="6:7" ht="57" customHeight="1" x14ac:dyDescent="0.25">
      <c r="F35" s="39"/>
      <c r="G35" s="39"/>
    </row>
    <row r="36" spans="6:7" ht="57" customHeight="1" x14ac:dyDescent="0.25">
      <c r="F36" s="39"/>
      <c r="G36" s="39"/>
    </row>
    <row r="37" spans="6:7" ht="57" customHeight="1" x14ac:dyDescent="0.25">
      <c r="F37" s="39"/>
      <c r="G37" s="39"/>
    </row>
    <row r="38" spans="6:7" ht="57" customHeight="1" x14ac:dyDescent="0.25">
      <c r="F38" s="39"/>
      <c r="G38" s="39"/>
    </row>
    <row r="39" spans="6:7" ht="57" customHeight="1" x14ac:dyDescent="0.25">
      <c r="F39" s="39"/>
      <c r="G39" s="39"/>
    </row>
    <row r="40" spans="6:7" ht="57" customHeight="1" x14ac:dyDescent="0.25">
      <c r="F40" s="39"/>
      <c r="G40" s="39"/>
    </row>
    <row r="41" spans="6:7" ht="57" customHeight="1" x14ac:dyDescent="0.25">
      <c r="F41" s="39"/>
      <c r="G41" s="39"/>
    </row>
    <row r="42" spans="6:7" ht="57" customHeight="1" x14ac:dyDescent="0.25">
      <c r="F42" s="39"/>
      <c r="G42" s="39"/>
    </row>
    <row r="43" spans="6:7" ht="57" customHeight="1" x14ac:dyDescent="0.25">
      <c r="F43" s="39"/>
      <c r="G43" s="39"/>
    </row>
    <row r="44" spans="6:7" ht="57" customHeight="1" x14ac:dyDescent="0.25">
      <c r="F44" s="39"/>
      <c r="G44" s="39"/>
    </row>
    <row r="45" spans="6:7" ht="57" customHeight="1" x14ac:dyDescent="0.25">
      <c r="F45" s="39"/>
      <c r="G45" s="39"/>
    </row>
    <row r="46" spans="6:7" ht="57" customHeight="1" x14ac:dyDescent="0.25">
      <c r="F46" s="39"/>
      <c r="G46" s="39"/>
    </row>
    <row r="47" spans="6:7" ht="57" customHeight="1" x14ac:dyDescent="0.25">
      <c r="F47" s="39"/>
      <c r="G47" s="39"/>
    </row>
    <row r="48" spans="6:7" ht="57" customHeight="1" x14ac:dyDescent="0.25">
      <c r="F48" s="39"/>
      <c r="G48" s="39"/>
    </row>
    <row r="49" spans="6:7" ht="57" customHeight="1" x14ac:dyDescent="0.25">
      <c r="F49" s="39"/>
      <c r="G49" s="39"/>
    </row>
    <row r="50" spans="6:7" ht="57" customHeight="1" x14ac:dyDescent="0.25">
      <c r="F50" s="39"/>
      <c r="G50" s="39"/>
    </row>
    <row r="51" spans="6:7" ht="57" customHeight="1" x14ac:dyDescent="0.25">
      <c r="F51" s="39"/>
      <c r="G51" s="39"/>
    </row>
    <row r="52" spans="6:7" ht="57" customHeight="1" x14ac:dyDescent="0.25">
      <c r="F52" s="39"/>
      <c r="G52" s="39"/>
    </row>
    <row r="53" spans="6:7" ht="57" customHeight="1" x14ac:dyDescent="0.25">
      <c r="F53" s="39"/>
      <c r="G53" s="39"/>
    </row>
    <row r="54" spans="6:7" ht="57" customHeight="1" x14ac:dyDescent="0.25">
      <c r="F54" s="39"/>
      <c r="G54" s="39"/>
    </row>
    <row r="55" spans="6:7" ht="57" customHeight="1" x14ac:dyDescent="0.25">
      <c r="F55" s="39"/>
      <c r="G55" s="39"/>
    </row>
    <row r="56" spans="6:7" ht="57" customHeight="1" x14ac:dyDescent="0.25">
      <c r="F56" s="39"/>
      <c r="G56" s="39"/>
    </row>
    <row r="57" spans="6:7" ht="57" customHeight="1" x14ac:dyDescent="0.25">
      <c r="F57" s="39"/>
      <c r="G57" s="39"/>
    </row>
    <row r="58" spans="6:7" ht="57" customHeight="1" x14ac:dyDescent="0.25"/>
  </sheetData>
  <sortState xmlns:xlrd2="http://schemas.microsoft.com/office/spreadsheetml/2017/richdata2" ref="E9:E58">
    <sortCondition ref="E9:E58"/>
  </sortState>
  <conditionalFormatting sqref="F1:G1">
    <cfRule type="expression" dxfId="1" priority="38">
      <formula>F1&lt;&gt;""</formula>
    </cfRule>
  </conditionalFormatting>
  <conditionalFormatting sqref="F11:G57">
    <cfRule type="expression" dxfId="0" priority="1">
      <formula>F11&lt;&gt;""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Apoio_Inicial" altText="Apoio Inicial">
                <anchor>
                  <from>
                    <xdr:col>0</xdr:col>
                    <xdr:colOff>295275</xdr:colOff>
                    <xdr:row>1</xdr:row>
                    <xdr:rowOff>133350</xdr:rowOff>
                  </from>
                  <to>
                    <xdr:col>2</xdr:col>
                    <xdr:colOff>381000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ACAU" altText="Apoio Inicial">
                <anchor>
                  <from>
                    <xdr:col>0</xdr:col>
                    <xdr:colOff>295275</xdr:colOff>
                    <xdr:row>4</xdr:row>
                    <xdr:rowOff>171450</xdr:rowOff>
                  </from>
                  <to>
                    <xdr:col>2</xdr:col>
                    <xdr:colOff>381000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FLORESTAL" altText="Apoio Inicial">
                <anchor>
                  <from>
                    <xdr:col>0</xdr:col>
                    <xdr:colOff>295275</xdr:colOff>
                    <xdr:row>8</xdr:row>
                    <xdr:rowOff>28575</xdr:rowOff>
                  </from>
                  <to>
                    <xdr:col>2</xdr:col>
                    <xdr:colOff>381000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FOMENTO" altText="Apoio Inicial">
                <anchor>
                  <from>
                    <xdr:col>0</xdr:col>
                    <xdr:colOff>295275</xdr:colOff>
                    <xdr:row>10</xdr:row>
                    <xdr:rowOff>266700</xdr:rowOff>
                  </from>
                  <to>
                    <xdr:col>2</xdr:col>
                    <xdr:colOff>381000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autoFill="0" autoPict="0" macro="[0]!FOMENTO_MULHER" altText="Apoio Inicial">
                <anchor>
                  <from>
                    <xdr:col>0</xdr:col>
                    <xdr:colOff>295275</xdr:colOff>
                    <xdr:row>11</xdr:row>
                    <xdr:rowOff>266700</xdr:rowOff>
                  </from>
                  <to>
                    <xdr:col>2</xdr:col>
                    <xdr:colOff>381000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autoFill="0" autoPict="0" macro="[0]!HABITACIONAL" altText="Apoio Inicial">
                <anchor>
                  <from>
                    <xdr:col>0</xdr:col>
                    <xdr:colOff>295275</xdr:colOff>
                    <xdr:row>12</xdr:row>
                    <xdr:rowOff>266700</xdr:rowOff>
                  </from>
                  <to>
                    <xdr:col>2</xdr:col>
                    <xdr:colOff>381000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autoFill="0" autoPict="0" macro="[0]!RECUPERACAO" altText="Apoio Inicial">
                <anchor>
                  <from>
                    <xdr:col>0</xdr:col>
                    <xdr:colOff>295275</xdr:colOff>
                    <xdr:row>13</xdr:row>
                    <xdr:rowOff>266700</xdr:rowOff>
                  </from>
                  <to>
                    <xdr:col>2</xdr:col>
                    <xdr:colOff>381000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autoFill="0" autoPict="0" macro="[0]!REFORMA" altText="Apoio Inicial">
                <anchor>
                  <from>
                    <xdr:col>0</xdr:col>
                    <xdr:colOff>295275</xdr:colOff>
                    <xdr:row>14</xdr:row>
                    <xdr:rowOff>266700</xdr:rowOff>
                  </from>
                  <to>
                    <xdr:col>2</xdr:col>
                    <xdr:colOff>381000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autoFill="0" autoPict="0" macro="[0]!SEMIARIDO" altText="Apoio Inicial">
                <anchor>
                  <from>
                    <xdr:col>0</xdr:col>
                    <xdr:colOff>295275</xdr:colOff>
                    <xdr:row>15</xdr:row>
                    <xdr:rowOff>238125</xdr:rowOff>
                  </from>
                  <to>
                    <xdr:col>2</xdr:col>
                    <xdr:colOff>381000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9B5A-2B1F-4B1F-A30B-951C1FA0ACDB}">
  <sheetPr codeName="Planilha5"/>
  <dimension ref="B2:E21"/>
  <sheetViews>
    <sheetView zoomScale="80" zoomScaleNormal="80" workbookViewId="0">
      <selection activeCell="D3" sqref="D3:E50"/>
    </sheetView>
  </sheetViews>
  <sheetFormatPr defaultRowHeight="15" x14ac:dyDescent="0.25"/>
  <cols>
    <col min="2" max="2" width="39.85546875" customWidth="1"/>
    <col min="4" max="5" width="104" customWidth="1"/>
  </cols>
  <sheetData>
    <row r="2" spans="2:5" x14ac:dyDescent="0.25">
      <c r="B2" s="20" t="s">
        <v>5</v>
      </c>
      <c r="D2" t="s">
        <v>55</v>
      </c>
      <c r="E2" t="s">
        <v>36</v>
      </c>
    </row>
    <row r="3" spans="2:5" x14ac:dyDescent="0.25">
      <c r="B3" s="20" t="s">
        <v>42</v>
      </c>
      <c r="E3" t="s">
        <v>11</v>
      </c>
    </row>
    <row r="4" spans="2:5" x14ac:dyDescent="0.25">
      <c r="B4" s="20"/>
      <c r="E4" t="s">
        <v>13</v>
      </c>
    </row>
    <row r="5" spans="2:5" x14ac:dyDescent="0.25">
      <c r="E5" t="s">
        <v>14</v>
      </c>
    </row>
    <row r="6" spans="2:5" x14ac:dyDescent="0.25">
      <c r="E6" t="s">
        <v>15</v>
      </c>
    </row>
    <row r="7" spans="2:5" x14ac:dyDescent="0.25">
      <c r="E7" t="s">
        <v>16</v>
      </c>
    </row>
    <row r="8" spans="2:5" x14ac:dyDescent="0.25">
      <c r="E8" t="s">
        <v>17</v>
      </c>
    </row>
    <row r="9" spans="2:5" x14ac:dyDescent="0.25">
      <c r="E9" t="s">
        <v>12</v>
      </c>
    </row>
    <row r="10" spans="2:5" x14ac:dyDescent="0.25">
      <c r="E10" t="s">
        <v>18</v>
      </c>
    </row>
    <row r="11" spans="2:5" x14ac:dyDescent="0.25">
      <c r="E11" t="s">
        <v>19</v>
      </c>
    </row>
    <row r="12" spans="2:5" x14ac:dyDescent="0.25">
      <c r="E12" t="s">
        <v>20</v>
      </c>
    </row>
    <row r="13" spans="2:5" x14ac:dyDescent="0.25">
      <c r="B13" t="s">
        <v>42</v>
      </c>
      <c r="E13" t="s">
        <v>21</v>
      </c>
    </row>
    <row r="14" spans="2:5" x14ac:dyDescent="0.25">
      <c r="B14" t="s">
        <v>54</v>
      </c>
      <c r="E14" t="s">
        <v>22</v>
      </c>
    </row>
    <row r="15" spans="2:5" x14ac:dyDescent="0.25">
      <c r="B15" t="s">
        <v>52</v>
      </c>
      <c r="E15" t="s">
        <v>23</v>
      </c>
    </row>
    <row r="16" spans="2:5" x14ac:dyDescent="0.25">
      <c r="B16" t="s">
        <v>0</v>
      </c>
      <c r="E16" t="s">
        <v>38</v>
      </c>
    </row>
    <row r="17" spans="2:2" x14ac:dyDescent="0.25">
      <c r="B17" t="s">
        <v>2</v>
      </c>
    </row>
    <row r="18" spans="2:2" x14ac:dyDescent="0.25">
      <c r="B18" t="s">
        <v>3</v>
      </c>
    </row>
    <row r="19" spans="2:2" x14ac:dyDescent="0.25">
      <c r="B19" t="s">
        <v>53</v>
      </c>
    </row>
    <row r="20" spans="2:2" x14ac:dyDescent="0.25">
      <c r="B20" t="s">
        <v>4</v>
      </c>
    </row>
    <row r="21" spans="2:2" x14ac:dyDescent="0.25">
      <c r="B2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3AB5F-78B6-450D-B2AC-04F87771925D}">
  <sheetPr codeName="Planilha3"/>
  <dimension ref="B3:F55"/>
  <sheetViews>
    <sheetView showGridLines="0" topLeftCell="A22" zoomScale="80" zoomScaleNormal="80" workbookViewId="0">
      <selection activeCell="B50" sqref="B50"/>
    </sheetView>
  </sheetViews>
  <sheetFormatPr defaultRowHeight="15" x14ac:dyDescent="0.25"/>
  <cols>
    <col min="2" max="2" width="26" bestFit="1" customWidth="1"/>
    <col min="3" max="3" width="27.28515625" bestFit="1" customWidth="1"/>
    <col min="4" max="4" width="54.5703125" bestFit="1" customWidth="1"/>
    <col min="5" max="5" width="178.140625" bestFit="1" customWidth="1"/>
    <col min="6" max="6" width="80" bestFit="1" customWidth="1"/>
  </cols>
  <sheetData>
    <row r="3" spans="2:6" x14ac:dyDescent="0.25">
      <c r="B3" t="s">
        <v>5</v>
      </c>
      <c r="C3" t="s">
        <v>6</v>
      </c>
      <c r="D3" t="s">
        <v>8</v>
      </c>
      <c r="E3" t="s">
        <v>55</v>
      </c>
      <c r="F3" t="s">
        <v>36</v>
      </c>
    </row>
    <row r="4" spans="2:6" x14ac:dyDescent="0.25">
      <c r="B4" t="s">
        <v>42</v>
      </c>
      <c r="C4" t="s">
        <v>40</v>
      </c>
      <c r="D4" t="s">
        <v>10</v>
      </c>
      <c r="F4" t="s">
        <v>11</v>
      </c>
    </row>
    <row r="5" spans="2:6" x14ac:dyDescent="0.25">
      <c r="B5" t="s">
        <v>42</v>
      </c>
      <c r="C5" t="s">
        <v>40</v>
      </c>
      <c r="D5" t="s">
        <v>10</v>
      </c>
      <c r="F5" t="s">
        <v>13</v>
      </c>
    </row>
    <row r="6" spans="2:6" x14ac:dyDescent="0.25">
      <c r="B6" t="s">
        <v>42</v>
      </c>
      <c r="C6" t="s">
        <v>40</v>
      </c>
      <c r="D6" t="s">
        <v>10</v>
      </c>
      <c r="F6" t="s">
        <v>14</v>
      </c>
    </row>
    <row r="7" spans="2:6" x14ac:dyDescent="0.25">
      <c r="B7" t="s">
        <v>42</v>
      </c>
      <c r="C7" t="s">
        <v>40</v>
      </c>
      <c r="D7" t="s">
        <v>10</v>
      </c>
      <c r="F7" t="s">
        <v>15</v>
      </c>
    </row>
    <row r="8" spans="2:6" x14ac:dyDescent="0.25">
      <c r="B8" t="s">
        <v>42</v>
      </c>
      <c r="C8" t="s">
        <v>40</v>
      </c>
      <c r="D8" t="s">
        <v>10</v>
      </c>
      <c r="F8" t="s">
        <v>16</v>
      </c>
    </row>
    <row r="9" spans="2:6" x14ac:dyDescent="0.25">
      <c r="B9" t="s">
        <v>42</v>
      </c>
      <c r="C9" t="s">
        <v>40</v>
      </c>
      <c r="D9" t="s">
        <v>10</v>
      </c>
      <c r="F9" t="s">
        <v>17</v>
      </c>
    </row>
    <row r="10" spans="2:6" x14ac:dyDescent="0.25">
      <c r="B10" t="s">
        <v>42</v>
      </c>
      <c r="C10" t="s">
        <v>40</v>
      </c>
      <c r="D10" t="s">
        <v>10</v>
      </c>
      <c r="F10" t="s">
        <v>12</v>
      </c>
    </row>
    <row r="11" spans="2:6" x14ac:dyDescent="0.25">
      <c r="B11" t="s">
        <v>42</v>
      </c>
      <c r="C11" t="s">
        <v>40</v>
      </c>
      <c r="D11" t="s">
        <v>10</v>
      </c>
      <c r="F11" t="s">
        <v>18</v>
      </c>
    </row>
    <row r="12" spans="2:6" x14ac:dyDescent="0.25">
      <c r="B12" t="s">
        <v>42</v>
      </c>
      <c r="C12" t="s">
        <v>40</v>
      </c>
      <c r="D12" t="s">
        <v>10</v>
      </c>
      <c r="F12" t="s">
        <v>19</v>
      </c>
    </row>
    <row r="13" spans="2:6" x14ac:dyDescent="0.25">
      <c r="B13" t="s">
        <v>42</v>
      </c>
      <c r="C13" t="s">
        <v>40</v>
      </c>
      <c r="D13" t="s">
        <v>10</v>
      </c>
      <c r="F13" t="s">
        <v>20</v>
      </c>
    </row>
    <row r="14" spans="2:6" x14ac:dyDescent="0.25">
      <c r="B14" t="s">
        <v>42</v>
      </c>
      <c r="C14" t="s">
        <v>40</v>
      </c>
      <c r="D14" t="s">
        <v>10</v>
      </c>
      <c r="F14" t="s">
        <v>21</v>
      </c>
    </row>
    <row r="15" spans="2:6" x14ac:dyDescent="0.25">
      <c r="B15" t="s">
        <v>42</v>
      </c>
      <c r="C15" t="s">
        <v>40</v>
      </c>
      <c r="D15" t="s">
        <v>10</v>
      </c>
      <c r="F15" t="s">
        <v>22</v>
      </c>
    </row>
    <row r="16" spans="2:6" x14ac:dyDescent="0.25">
      <c r="B16" t="s">
        <v>42</v>
      </c>
      <c r="C16" t="s">
        <v>40</v>
      </c>
      <c r="D16" t="s">
        <v>10</v>
      </c>
      <c r="F16" t="s">
        <v>23</v>
      </c>
    </row>
    <row r="17" spans="2:6" x14ac:dyDescent="0.25">
      <c r="B17" t="s">
        <v>42</v>
      </c>
      <c r="C17" t="s">
        <v>40</v>
      </c>
      <c r="D17" t="s">
        <v>10</v>
      </c>
      <c r="F17" t="s">
        <v>38</v>
      </c>
    </row>
    <row r="18" spans="2:6" x14ac:dyDescent="0.25">
      <c r="B18" t="s">
        <v>0</v>
      </c>
      <c r="C18" t="s">
        <v>33</v>
      </c>
      <c r="D18" t="s">
        <v>8</v>
      </c>
      <c r="F18" t="s">
        <v>18</v>
      </c>
    </row>
    <row r="19" spans="2:6" x14ac:dyDescent="0.25">
      <c r="B19" t="s">
        <v>0</v>
      </c>
      <c r="C19" t="s">
        <v>33</v>
      </c>
      <c r="D19" t="s">
        <v>8</v>
      </c>
      <c r="F19" t="s">
        <v>39</v>
      </c>
    </row>
    <row r="20" spans="2:6" x14ac:dyDescent="0.25">
      <c r="B20" t="s">
        <v>0</v>
      </c>
      <c r="C20" t="s">
        <v>33</v>
      </c>
      <c r="D20" t="s">
        <v>8</v>
      </c>
      <c r="E20" t="s">
        <v>30</v>
      </c>
    </row>
    <row r="21" spans="2:6" x14ac:dyDescent="0.25">
      <c r="B21" t="s">
        <v>0</v>
      </c>
      <c r="C21" t="s">
        <v>33</v>
      </c>
      <c r="D21" t="s">
        <v>8</v>
      </c>
      <c r="E21" t="s">
        <v>25</v>
      </c>
    </row>
    <row r="22" spans="2:6" x14ac:dyDescent="0.25">
      <c r="B22" t="s">
        <v>0</v>
      </c>
      <c r="C22" t="s">
        <v>33</v>
      </c>
      <c r="D22" t="s">
        <v>8</v>
      </c>
      <c r="E22" t="s">
        <v>9</v>
      </c>
    </row>
    <row r="23" spans="2:6" x14ac:dyDescent="0.25">
      <c r="B23" t="s">
        <v>2</v>
      </c>
      <c r="C23" t="s">
        <v>40</v>
      </c>
      <c r="D23" t="s">
        <v>8</v>
      </c>
      <c r="E23" t="s">
        <v>24</v>
      </c>
    </row>
    <row r="24" spans="2:6" x14ac:dyDescent="0.25">
      <c r="B24" t="s">
        <v>2</v>
      </c>
      <c r="C24" t="s">
        <v>40</v>
      </c>
      <c r="D24" t="s">
        <v>8</v>
      </c>
      <c r="F24" t="s">
        <v>17</v>
      </c>
    </row>
    <row r="25" spans="2:6" x14ac:dyDescent="0.25">
      <c r="B25" t="s">
        <v>2</v>
      </c>
      <c r="C25" t="s">
        <v>40</v>
      </c>
      <c r="D25" t="s">
        <v>8</v>
      </c>
      <c r="E25" t="s">
        <v>30</v>
      </c>
    </row>
    <row r="26" spans="2:6" x14ac:dyDescent="0.25">
      <c r="B26" t="s">
        <v>1</v>
      </c>
      <c r="C26" t="s">
        <v>40</v>
      </c>
      <c r="F26" t="s">
        <v>21</v>
      </c>
    </row>
    <row r="27" spans="2:6" x14ac:dyDescent="0.25">
      <c r="B27" t="s">
        <v>1</v>
      </c>
      <c r="C27" t="s">
        <v>40</v>
      </c>
      <c r="E27" t="s">
        <v>26</v>
      </c>
    </row>
    <row r="28" spans="2:6" x14ac:dyDescent="0.25">
      <c r="B28" t="s">
        <v>1</v>
      </c>
      <c r="C28" t="s">
        <v>40</v>
      </c>
      <c r="E28" t="s">
        <v>27</v>
      </c>
    </row>
    <row r="29" spans="2:6" x14ac:dyDescent="0.25">
      <c r="B29" t="s">
        <v>1</v>
      </c>
      <c r="C29" t="s">
        <v>40</v>
      </c>
      <c r="E29" t="s">
        <v>49</v>
      </c>
    </row>
    <row r="30" spans="2:6" x14ac:dyDescent="0.25">
      <c r="B30" t="s">
        <v>52</v>
      </c>
      <c r="C30" t="s">
        <v>40</v>
      </c>
      <c r="D30" t="s">
        <v>8</v>
      </c>
      <c r="F30" t="s">
        <v>23</v>
      </c>
    </row>
    <row r="31" spans="2:6" x14ac:dyDescent="0.25">
      <c r="B31" t="s">
        <v>52</v>
      </c>
      <c r="C31" t="s">
        <v>40</v>
      </c>
      <c r="D31" t="s">
        <v>8</v>
      </c>
      <c r="E31" t="s">
        <v>30</v>
      </c>
    </row>
    <row r="32" spans="2:6" x14ac:dyDescent="0.25">
      <c r="B32" t="s">
        <v>52</v>
      </c>
      <c r="C32" t="s">
        <v>40</v>
      </c>
      <c r="D32" t="s">
        <v>8</v>
      </c>
      <c r="E32" t="s">
        <v>9</v>
      </c>
    </row>
    <row r="33" spans="2:6" x14ac:dyDescent="0.25">
      <c r="B33" t="s">
        <v>52</v>
      </c>
      <c r="C33" t="s">
        <v>40</v>
      </c>
      <c r="D33" t="s">
        <v>8</v>
      </c>
      <c r="E33" t="s">
        <v>28</v>
      </c>
    </row>
    <row r="34" spans="2:6" x14ac:dyDescent="0.25">
      <c r="B34" t="s">
        <v>52</v>
      </c>
      <c r="C34" t="s">
        <v>40</v>
      </c>
      <c r="D34" t="s">
        <v>8</v>
      </c>
      <c r="E34" t="s">
        <v>43</v>
      </c>
    </row>
    <row r="35" spans="2:6" x14ac:dyDescent="0.25">
      <c r="B35" t="s">
        <v>53</v>
      </c>
      <c r="C35" t="s">
        <v>40</v>
      </c>
      <c r="D35" t="s">
        <v>8</v>
      </c>
      <c r="F35" t="s">
        <v>23</v>
      </c>
    </row>
    <row r="36" spans="2:6" x14ac:dyDescent="0.25">
      <c r="B36" t="s">
        <v>53</v>
      </c>
      <c r="C36" t="s">
        <v>40</v>
      </c>
      <c r="D36" t="s">
        <v>8</v>
      </c>
      <c r="E36" t="s">
        <v>30</v>
      </c>
    </row>
    <row r="37" spans="2:6" x14ac:dyDescent="0.25">
      <c r="B37" t="s">
        <v>53</v>
      </c>
      <c r="C37" t="s">
        <v>40</v>
      </c>
      <c r="D37" t="s">
        <v>8</v>
      </c>
      <c r="E37" t="s">
        <v>9</v>
      </c>
    </row>
    <row r="38" spans="2:6" x14ac:dyDescent="0.25">
      <c r="B38" t="s">
        <v>53</v>
      </c>
      <c r="C38" t="s">
        <v>40</v>
      </c>
      <c r="D38" t="s">
        <v>8</v>
      </c>
      <c r="E38" t="s">
        <v>28</v>
      </c>
    </row>
    <row r="39" spans="2:6" x14ac:dyDescent="0.25">
      <c r="B39" t="s">
        <v>53</v>
      </c>
      <c r="C39" t="s">
        <v>40</v>
      </c>
      <c r="D39" t="s">
        <v>8</v>
      </c>
      <c r="E39" t="s">
        <v>43</v>
      </c>
    </row>
    <row r="40" spans="2:6" x14ac:dyDescent="0.25">
      <c r="B40" t="s">
        <v>54</v>
      </c>
      <c r="C40" t="s">
        <v>29</v>
      </c>
      <c r="D40" t="s">
        <v>8</v>
      </c>
      <c r="E40" t="s">
        <v>30</v>
      </c>
    </row>
    <row r="41" spans="2:6" x14ac:dyDescent="0.25">
      <c r="B41" t="s">
        <v>54</v>
      </c>
      <c r="C41" t="s">
        <v>29</v>
      </c>
      <c r="D41" t="s">
        <v>8</v>
      </c>
      <c r="E41" t="s">
        <v>9</v>
      </c>
    </row>
    <row r="42" spans="2:6" x14ac:dyDescent="0.25">
      <c r="B42" t="s">
        <v>54</v>
      </c>
      <c r="C42" t="s">
        <v>29</v>
      </c>
      <c r="D42" t="s">
        <v>8</v>
      </c>
      <c r="E42" t="s">
        <v>28</v>
      </c>
    </row>
    <row r="43" spans="2:6" x14ac:dyDescent="0.25">
      <c r="B43" t="s">
        <v>54</v>
      </c>
      <c r="C43" t="s">
        <v>29</v>
      </c>
      <c r="D43" t="s">
        <v>8</v>
      </c>
      <c r="E43" t="s">
        <v>43</v>
      </c>
    </row>
    <row r="44" spans="2:6" x14ac:dyDescent="0.25">
      <c r="B44" t="s">
        <v>3</v>
      </c>
      <c r="C44" t="s">
        <v>41</v>
      </c>
      <c r="D44" t="s">
        <v>8</v>
      </c>
      <c r="F44" t="s">
        <v>51</v>
      </c>
    </row>
    <row r="45" spans="2:6" x14ac:dyDescent="0.25">
      <c r="B45" t="s">
        <v>3</v>
      </c>
      <c r="C45" t="s">
        <v>41</v>
      </c>
      <c r="D45" t="s">
        <v>8</v>
      </c>
      <c r="F45" t="s">
        <v>37</v>
      </c>
    </row>
    <row r="46" spans="2:6" x14ac:dyDescent="0.25">
      <c r="B46" t="s">
        <v>3</v>
      </c>
      <c r="C46" t="s">
        <v>41</v>
      </c>
      <c r="D46" t="s">
        <v>8</v>
      </c>
      <c r="E46" t="s">
        <v>31</v>
      </c>
    </row>
    <row r="47" spans="2:6" x14ac:dyDescent="0.25">
      <c r="B47" t="s">
        <v>3</v>
      </c>
      <c r="C47" t="s">
        <v>41</v>
      </c>
      <c r="D47" t="s">
        <v>8</v>
      </c>
      <c r="E47" t="s">
        <v>9</v>
      </c>
    </row>
    <row r="48" spans="2:6" x14ac:dyDescent="0.25">
      <c r="B48" t="s">
        <v>3</v>
      </c>
      <c r="C48" t="s">
        <v>41</v>
      </c>
      <c r="D48" t="s">
        <v>8</v>
      </c>
      <c r="E48" t="s">
        <v>32</v>
      </c>
    </row>
    <row r="49" spans="2:6" x14ac:dyDescent="0.25">
      <c r="B49" t="s">
        <v>3</v>
      </c>
      <c r="C49" t="s">
        <v>41</v>
      </c>
      <c r="D49" t="s">
        <v>8</v>
      </c>
      <c r="E49" t="s">
        <v>35</v>
      </c>
    </row>
    <row r="50" spans="2:6" x14ac:dyDescent="0.25">
      <c r="B50" t="s">
        <v>4</v>
      </c>
      <c r="C50" t="s">
        <v>41</v>
      </c>
      <c r="D50" t="s">
        <v>8</v>
      </c>
      <c r="F50" t="s">
        <v>51</v>
      </c>
    </row>
    <row r="51" spans="2:6" x14ac:dyDescent="0.25">
      <c r="B51" t="s">
        <v>4</v>
      </c>
      <c r="C51" t="s">
        <v>41</v>
      </c>
      <c r="D51" t="s">
        <v>8</v>
      </c>
      <c r="F51" t="s">
        <v>37</v>
      </c>
    </row>
    <row r="52" spans="2:6" x14ac:dyDescent="0.25">
      <c r="B52" t="s">
        <v>4</v>
      </c>
      <c r="C52" t="s">
        <v>41</v>
      </c>
      <c r="D52" t="s">
        <v>8</v>
      </c>
      <c r="E52" t="s">
        <v>31</v>
      </c>
    </row>
    <row r="53" spans="2:6" x14ac:dyDescent="0.25">
      <c r="B53" t="s">
        <v>4</v>
      </c>
      <c r="C53" t="s">
        <v>41</v>
      </c>
      <c r="D53" t="s">
        <v>8</v>
      </c>
      <c r="E53" t="s">
        <v>9</v>
      </c>
    </row>
    <row r="54" spans="2:6" x14ac:dyDescent="0.25">
      <c r="B54" t="s">
        <v>4</v>
      </c>
      <c r="C54" t="s">
        <v>41</v>
      </c>
      <c r="D54" t="s">
        <v>8</v>
      </c>
      <c r="E54" t="s">
        <v>32</v>
      </c>
    </row>
    <row r="55" spans="2:6" x14ac:dyDescent="0.25">
      <c r="B55" t="s">
        <v>4</v>
      </c>
      <c r="C55" t="s">
        <v>41</v>
      </c>
      <c r="D55" t="s">
        <v>8</v>
      </c>
      <c r="E55" t="s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Original</vt:lpstr>
      <vt:lpstr>DashBoard</vt:lpstr>
      <vt:lpstr>Modelagem</vt:lpstr>
      <vt:lpstr>Base Critérios</vt:lpstr>
      <vt:lpstr>Modelagem!Area_de_extracao</vt:lpstr>
      <vt:lpstr>Modelagem!Criterios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Cristina Medina Casagrande</dc:creator>
  <cp:lastModifiedBy>RAFAEL Pereira da Costa</cp:lastModifiedBy>
  <cp:lastPrinted>2021-05-30T21:56:56Z</cp:lastPrinted>
  <dcterms:created xsi:type="dcterms:W3CDTF">2020-12-17T15:53:55Z</dcterms:created>
  <dcterms:modified xsi:type="dcterms:W3CDTF">2022-06-21T20:35:31Z</dcterms:modified>
</cp:coreProperties>
</file>